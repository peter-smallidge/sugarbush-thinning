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pjs23\Documents\R\sugarbush-thinning\"/>
    </mc:Choice>
  </mc:AlternateContent>
  <xr:revisionPtr revIDLastSave="0" documentId="13_ncr:1_{FE2FAB91-F0C5-420F-9CC5-8285010EDCB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esearch tree baseline" sheetId="3" r:id="rId1"/>
    <sheet name="trmt summary" sheetId="4" r:id="rId2"/>
    <sheet name="codom" sheetId="1" r:id="rId3"/>
    <sheet name="inter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4" l="1"/>
  <c r="E28" i="1" l="1"/>
  <c r="D28" i="1"/>
  <c r="E27" i="1"/>
  <c r="D29" i="1"/>
  <c r="D27" i="1"/>
  <c r="E18" i="2"/>
</calcChain>
</file>

<file path=xl/sharedStrings.xml><?xml version="1.0" encoding="utf-8"?>
<sst xmlns="http://schemas.openxmlformats.org/spreadsheetml/2006/main" count="334" uniqueCount="55">
  <si>
    <t>ash</t>
  </si>
  <si>
    <t>near int#5</t>
  </si>
  <si>
    <t>near int #6</t>
  </si>
  <si>
    <t>2 ash</t>
  </si>
  <si>
    <t>adjacent trail</t>
  </si>
  <si>
    <t>sick beech will die</t>
  </si>
  <si>
    <t>flag #</t>
  </si>
  <si>
    <t>dbh</t>
  </si>
  <si>
    <t>current ftg</t>
  </si>
  <si>
    <t>potential ftg</t>
  </si>
  <si>
    <t>issue</t>
  </si>
  <si>
    <t>TRMT</t>
  </si>
  <si>
    <t>3 ftg</t>
  </si>
  <si>
    <t>2 ftg</t>
  </si>
  <si>
    <t>ctrl</t>
  </si>
  <si>
    <t>omit</t>
  </si>
  <si>
    <t>trmt</t>
  </si>
  <si>
    <t>avg dbh</t>
  </si>
  <si>
    <t>avg delta</t>
  </si>
  <si>
    <t>tag</t>
  </si>
  <si>
    <t>crown class</t>
  </si>
  <si>
    <t>codom</t>
  </si>
  <si>
    <t>interm</t>
  </si>
  <si>
    <t>dbh (11dec2020)</t>
  </si>
  <si>
    <t>Intermediate summary</t>
  </si>
  <si>
    <t>Treatment summary</t>
  </si>
  <si>
    <t>Interm</t>
  </si>
  <si>
    <t>avg delta FTG</t>
  </si>
  <si>
    <t>avg initial dbh</t>
  </si>
  <si>
    <t>Treatment</t>
  </si>
  <si>
    <t>n</t>
  </si>
  <si>
    <t>2021 sequence</t>
  </si>
  <si>
    <t>f</t>
  </si>
  <si>
    <t>a</t>
  </si>
  <si>
    <t>e</t>
  </si>
  <si>
    <t>b</t>
  </si>
  <si>
    <t>c</t>
  </si>
  <si>
    <t>d</t>
  </si>
  <si>
    <t>x</t>
  </si>
  <si>
    <t>site</t>
  </si>
  <si>
    <t>decker</t>
  </si>
  <si>
    <t>dbh2020</t>
  </si>
  <si>
    <t>dbh2021</t>
  </si>
  <si>
    <t>cluster_2021</t>
  </si>
  <si>
    <t>crownclass2020</t>
  </si>
  <si>
    <t>ftg_pre</t>
  </si>
  <si>
    <t>ftg_planned</t>
  </si>
  <si>
    <t>i</t>
  </si>
  <si>
    <t>dbh2020 adjusted to be consistent with dbh_20aug2021. dbh2020 was collected march 2021 and dbh2021 was collected august 2021 at edge of painted dendrometer band</t>
  </si>
  <si>
    <t>strata_pre</t>
  </si>
  <si>
    <t>strata_post</t>
  </si>
  <si>
    <t>ftg_post</t>
  </si>
  <si>
    <t>upper</t>
  </si>
  <si>
    <t>lower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</si>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</sst>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Normal="100" workbookViewId="0">
      <selection activeCell="H10" sqref="H10"/>
    </sheetView>
  </sheetViews>
  <sheetFormatPr defaultRowHeight="15" x14ac:dyDescent="0.25"/>
  <cols>
    <col min="2" max="2" width="8.85546875" customWidth="1"/>
    <col min="4" max="8" width="8.85546875" customWidth="1"/>
    <col min="9" max="10" width="8.85546875" style="2" customWidth="1"/>
    <col min="11" max="11" width="8.85546875" customWidth="1"/>
    <col min="12" max="12" width="12.42578125" style="2" customWidth="1"/>
  </cols>
  <sheetData>
    <row r="1" spans="1:12" x14ac:dyDescent="0.25">
      <c r="A1" t="s">
        <v>48</v>
      </c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3"/>
      <c r="J3" s="13"/>
      <c r="K3" s="12"/>
      <c r="L3" s="13"/>
    </row>
    <row r="4" spans="1:12" ht="45" x14ac:dyDescent="0.25">
      <c r="A4" s="12" t="s">
        <v>39</v>
      </c>
      <c r="B4" s="14" t="s">
        <v>31</v>
      </c>
      <c r="C4" s="14" t="s">
        <v>19</v>
      </c>
      <c r="D4" s="14" t="s">
        <v>44</v>
      </c>
      <c r="E4" s="14" t="s">
        <v>49</v>
      </c>
      <c r="F4" s="14" t="s">
        <v>50</v>
      </c>
      <c r="G4" s="14" t="s">
        <v>41</v>
      </c>
      <c r="H4" s="14" t="s">
        <v>45</v>
      </c>
      <c r="I4" s="14" t="s">
        <v>46</v>
      </c>
      <c r="J4" s="14" t="s">
        <v>51</v>
      </c>
      <c r="K4" s="14" t="s">
        <v>43</v>
      </c>
      <c r="L4" s="14" t="s">
        <v>42</v>
      </c>
    </row>
    <row r="5" spans="1:12" ht="18" customHeight="1" x14ac:dyDescent="0.25">
      <c r="A5" s="12" t="s">
        <v>40</v>
      </c>
      <c r="B5" s="13">
        <v>30</v>
      </c>
      <c r="C5" s="13">
        <v>506</v>
      </c>
      <c r="D5" s="13" t="s">
        <v>36</v>
      </c>
      <c r="E5" s="13" t="s">
        <v>52</v>
      </c>
      <c r="F5" s="13" t="s">
        <v>54</v>
      </c>
      <c r="G5" s="13">
        <v>15.61</v>
      </c>
      <c r="H5" s="13">
        <v>0</v>
      </c>
      <c r="I5" s="13">
        <v>2</v>
      </c>
      <c r="J5" s="13" t="s">
        <v>54</v>
      </c>
      <c r="K5" s="13" t="s">
        <v>37</v>
      </c>
      <c r="L5" s="13">
        <v>15.65</v>
      </c>
    </row>
    <row r="6" spans="1:12" ht="18" customHeight="1" x14ac:dyDescent="0.25">
      <c r="A6" s="12" t="s">
        <v>40</v>
      </c>
      <c r="B6" s="13">
        <v>12</v>
      </c>
      <c r="C6" s="13">
        <v>508</v>
      </c>
      <c r="D6" s="13" t="s">
        <v>36</v>
      </c>
      <c r="E6" s="13" t="s">
        <v>52</v>
      </c>
      <c r="F6" s="13" t="s">
        <v>54</v>
      </c>
      <c r="G6" s="13">
        <v>16.7</v>
      </c>
      <c r="H6" s="13">
        <v>0</v>
      </c>
      <c r="I6" s="13">
        <v>2</v>
      </c>
      <c r="J6" s="13" t="s">
        <v>54</v>
      </c>
      <c r="K6" s="13" t="s">
        <v>33</v>
      </c>
      <c r="L6" s="13">
        <v>16.7</v>
      </c>
    </row>
    <row r="7" spans="1:12" ht="18" customHeight="1" x14ac:dyDescent="0.25">
      <c r="A7" s="12" t="s">
        <v>40</v>
      </c>
      <c r="B7" s="13">
        <v>32</v>
      </c>
      <c r="C7" s="13">
        <v>514</v>
      </c>
      <c r="D7" s="13" t="s">
        <v>36</v>
      </c>
      <c r="E7" s="13" t="s">
        <v>52</v>
      </c>
      <c r="F7" s="13" t="s">
        <v>54</v>
      </c>
      <c r="G7" s="13">
        <v>13.2</v>
      </c>
      <c r="H7" s="13">
        <v>0</v>
      </c>
      <c r="I7" s="13">
        <v>2</v>
      </c>
      <c r="J7" s="13" t="s">
        <v>54</v>
      </c>
      <c r="K7" s="13" t="s">
        <v>37</v>
      </c>
      <c r="L7" s="13">
        <v>13.2</v>
      </c>
    </row>
    <row r="8" spans="1:12" ht="18" customHeight="1" x14ac:dyDescent="0.25">
      <c r="A8" s="12" t="s">
        <v>40</v>
      </c>
      <c r="B8" s="13">
        <v>18</v>
      </c>
      <c r="C8" s="13">
        <v>516</v>
      </c>
      <c r="D8" s="13" t="s">
        <v>36</v>
      </c>
      <c r="E8" s="13" t="s">
        <v>52</v>
      </c>
      <c r="F8" s="13" t="s">
        <v>54</v>
      </c>
      <c r="G8" s="13">
        <v>14.4</v>
      </c>
      <c r="H8" s="13">
        <v>0.5</v>
      </c>
      <c r="I8" s="13">
        <v>2</v>
      </c>
      <c r="J8" s="13" t="s">
        <v>54</v>
      </c>
      <c r="K8" s="13" t="s">
        <v>34</v>
      </c>
      <c r="L8" s="13">
        <v>14.6</v>
      </c>
    </row>
    <row r="9" spans="1:12" ht="18" customHeight="1" x14ac:dyDescent="0.25">
      <c r="A9" s="12" t="s">
        <v>40</v>
      </c>
      <c r="B9" s="13">
        <v>13</v>
      </c>
      <c r="C9" s="13">
        <v>519</v>
      </c>
      <c r="D9" s="13" t="s">
        <v>36</v>
      </c>
      <c r="E9" s="13" t="s">
        <v>52</v>
      </c>
      <c r="F9" s="13" t="s">
        <v>54</v>
      </c>
      <c r="G9" s="13">
        <v>15.54</v>
      </c>
      <c r="H9" s="13">
        <v>0.5</v>
      </c>
      <c r="I9" s="13">
        <v>2</v>
      </c>
      <c r="J9" s="13" t="s">
        <v>54</v>
      </c>
      <c r="K9" s="13" t="s">
        <v>34</v>
      </c>
      <c r="L9" s="13">
        <v>15.6</v>
      </c>
    </row>
    <row r="10" spans="1:12" ht="18" customHeight="1" x14ac:dyDescent="0.25">
      <c r="A10" s="12" t="s">
        <v>40</v>
      </c>
      <c r="B10" s="13">
        <v>1</v>
      </c>
      <c r="C10" s="13">
        <v>524</v>
      </c>
      <c r="D10" s="13" t="s">
        <v>36</v>
      </c>
      <c r="E10" s="13" t="s">
        <v>52</v>
      </c>
      <c r="F10" s="13" t="s">
        <v>54</v>
      </c>
      <c r="G10" s="13">
        <v>13.64</v>
      </c>
      <c r="H10" s="13">
        <v>0.5</v>
      </c>
      <c r="I10" s="13">
        <v>2</v>
      </c>
      <c r="J10" s="13" t="s">
        <v>54</v>
      </c>
      <c r="K10" s="13" t="s">
        <v>32</v>
      </c>
      <c r="L10" s="13">
        <v>13.8</v>
      </c>
    </row>
    <row r="11" spans="1:12" ht="18" customHeight="1" x14ac:dyDescent="0.25">
      <c r="A11" s="12" t="s">
        <v>40</v>
      </c>
      <c r="B11" s="13">
        <v>5</v>
      </c>
      <c r="C11" s="13">
        <v>526</v>
      </c>
      <c r="D11" s="13" t="s">
        <v>36</v>
      </c>
      <c r="E11" s="13" t="s">
        <v>52</v>
      </c>
      <c r="F11" s="13" t="s">
        <v>54</v>
      </c>
      <c r="G11" s="13">
        <v>15.78</v>
      </c>
      <c r="H11" s="13">
        <v>0.5</v>
      </c>
      <c r="I11" s="13">
        <v>2</v>
      </c>
      <c r="J11" s="13" t="s">
        <v>54</v>
      </c>
      <c r="K11" s="13" t="s">
        <v>32</v>
      </c>
      <c r="L11" s="13">
        <v>15.9</v>
      </c>
    </row>
    <row r="12" spans="1:12" ht="18" customHeight="1" x14ac:dyDescent="0.25">
      <c r="A12" s="12" t="s">
        <v>40</v>
      </c>
      <c r="B12" s="13">
        <v>22</v>
      </c>
      <c r="C12" s="13">
        <v>527</v>
      </c>
      <c r="D12" s="13" t="s">
        <v>36</v>
      </c>
      <c r="E12" s="13" t="s">
        <v>52</v>
      </c>
      <c r="F12" s="13" t="s">
        <v>54</v>
      </c>
      <c r="G12" s="13">
        <v>15.13</v>
      </c>
      <c r="H12" s="13">
        <v>0.5</v>
      </c>
      <c r="I12" s="13">
        <v>2</v>
      </c>
      <c r="J12" s="13" t="s">
        <v>54</v>
      </c>
      <c r="K12" s="13" t="s">
        <v>34</v>
      </c>
      <c r="L12" s="13">
        <v>15.2</v>
      </c>
    </row>
    <row r="13" spans="1:12" ht="18" customHeight="1" x14ac:dyDescent="0.25">
      <c r="A13" s="12" t="s">
        <v>40</v>
      </c>
      <c r="B13" s="13">
        <v>27</v>
      </c>
      <c r="C13" s="13">
        <v>504</v>
      </c>
      <c r="D13" s="13" t="s">
        <v>36</v>
      </c>
      <c r="E13" s="13" t="s">
        <v>52</v>
      </c>
      <c r="F13" s="13" t="s">
        <v>54</v>
      </c>
      <c r="G13" s="15">
        <v>14.3</v>
      </c>
      <c r="H13" s="15">
        <v>0.5</v>
      </c>
      <c r="I13" s="13">
        <v>3</v>
      </c>
      <c r="J13" s="13" t="s">
        <v>54</v>
      </c>
      <c r="K13" s="13" t="s">
        <v>36</v>
      </c>
      <c r="L13" s="13">
        <v>14.3</v>
      </c>
    </row>
    <row r="14" spans="1:12" ht="18" customHeight="1" x14ac:dyDescent="0.25">
      <c r="A14" s="12" t="s">
        <v>40</v>
      </c>
      <c r="B14" s="13">
        <v>25</v>
      </c>
      <c r="C14" s="13">
        <v>505</v>
      </c>
      <c r="D14" s="13" t="s">
        <v>36</v>
      </c>
      <c r="E14" s="13" t="s">
        <v>52</v>
      </c>
      <c r="F14" s="13" t="s">
        <v>54</v>
      </c>
      <c r="G14" s="13">
        <v>15.75</v>
      </c>
      <c r="H14" s="13">
        <v>0</v>
      </c>
      <c r="I14" s="13">
        <v>3</v>
      </c>
      <c r="J14" s="13" t="s">
        <v>54</v>
      </c>
      <c r="K14" s="13" t="s">
        <v>35</v>
      </c>
      <c r="L14" s="13">
        <v>15.9</v>
      </c>
    </row>
    <row r="15" spans="1:12" ht="18" customHeight="1" x14ac:dyDescent="0.25">
      <c r="A15" s="12" t="s">
        <v>40</v>
      </c>
      <c r="B15" s="13">
        <v>11</v>
      </c>
      <c r="C15" s="13">
        <v>509</v>
      </c>
      <c r="D15" s="13" t="s">
        <v>36</v>
      </c>
      <c r="E15" s="13" t="s">
        <v>52</v>
      </c>
      <c r="F15" s="13" t="s">
        <v>54</v>
      </c>
      <c r="G15" s="13">
        <v>16.25</v>
      </c>
      <c r="H15" s="13">
        <v>0.5</v>
      </c>
      <c r="I15" s="13">
        <v>3</v>
      </c>
      <c r="J15" s="13" t="s">
        <v>54</v>
      </c>
      <c r="K15" s="13" t="s">
        <v>33</v>
      </c>
      <c r="L15" s="13">
        <v>16.3</v>
      </c>
    </row>
    <row r="16" spans="1:12" ht="18" customHeight="1" x14ac:dyDescent="0.25">
      <c r="A16" s="12" t="s">
        <v>40</v>
      </c>
      <c r="B16" s="13">
        <v>19</v>
      </c>
      <c r="C16" s="13">
        <v>518</v>
      </c>
      <c r="D16" s="13" t="s">
        <v>36</v>
      </c>
      <c r="E16" s="13" t="s">
        <v>52</v>
      </c>
      <c r="F16" s="13" t="s">
        <v>54</v>
      </c>
      <c r="G16" s="13">
        <v>13.87</v>
      </c>
      <c r="H16" s="13">
        <v>0</v>
      </c>
      <c r="I16" s="13">
        <v>3</v>
      </c>
      <c r="J16" s="13" t="s">
        <v>54</v>
      </c>
      <c r="K16" s="13" t="s">
        <v>34</v>
      </c>
      <c r="L16" s="13">
        <v>13.9</v>
      </c>
    </row>
    <row r="17" spans="1:12" ht="18" customHeight="1" x14ac:dyDescent="0.25">
      <c r="A17" s="12" t="s">
        <v>40</v>
      </c>
      <c r="B17" s="13">
        <v>15</v>
      </c>
      <c r="C17" s="13">
        <v>520</v>
      </c>
      <c r="D17" s="13" t="s">
        <v>36</v>
      </c>
      <c r="E17" s="13" t="s">
        <v>52</v>
      </c>
      <c r="F17" s="13" t="s">
        <v>54</v>
      </c>
      <c r="G17" s="13">
        <v>18.2</v>
      </c>
      <c r="H17" s="13">
        <v>0</v>
      </c>
      <c r="I17" s="13">
        <v>3</v>
      </c>
      <c r="J17" s="13" t="s">
        <v>54</v>
      </c>
      <c r="K17" s="13" t="s">
        <v>34</v>
      </c>
      <c r="L17" s="13">
        <v>18.3</v>
      </c>
    </row>
    <row r="18" spans="1:12" ht="18" customHeight="1" x14ac:dyDescent="0.25">
      <c r="A18" s="12" t="s">
        <v>40</v>
      </c>
      <c r="B18" s="13">
        <v>4</v>
      </c>
      <c r="C18" s="13">
        <v>528</v>
      </c>
      <c r="D18" s="13" t="s">
        <v>36</v>
      </c>
      <c r="E18" s="13" t="s">
        <v>52</v>
      </c>
      <c r="F18" s="13" t="s">
        <v>54</v>
      </c>
      <c r="G18" s="13">
        <v>12.7</v>
      </c>
      <c r="H18" s="13">
        <v>0</v>
      </c>
      <c r="I18" s="13">
        <v>3</v>
      </c>
      <c r="J18" s="13" t="s">
        <v>54</v>
      </c>
      <c r="K18" s="13" t="s">
        <v>32</v>
      </c>
      <c r="L18" s="13">
        <v>12.7</v>
      </c>
    </row>
    <row r="19" spans="1:12" ht="18" customHeight="1" x14ac:dyDescent="0.25">
      <c r="A19" s="12" t="s">
        <v>40</v>
      </c>
      <c r="B19" s="13">
        <v>2</v>
      </c>
      <c r="C19" s="13">
        <v>530</v>
      </c>
      <c r="D19" s="13" t="s">
        <v>36</v>
      </c>
      <c r="E19" s="13" t="s">
        <v>52</v>
      </c>
      <c r="F19" s="13" t="s">
        <v>54</v>
      </c>
      <c r="G19" s="13">
        <v>15.1</v>
      </c>
      <c r="H19" s="13">
        <v>0</v>
      </c>
      <c r="I19" s="13">
        <v>3</v>
      </c>
      <c r="J19" s="13" t="s">
        <v>54</v>
      </c>
      <c r="K19" s="13" t="s">
        <v>32</v>
      </c>
      <c r="L19" s="13">
        <v>15.2</v>
      </c>
    </row>
    <row r="20" spans="1:12" ht="18" customHeight="1" x14ac:dyDescent="0.25">
      <c r="A20" s="12" t="s">
        <v>40</v>
      </c>
      <c r="B20" s="13">
        <v>9</v>
      </c>
      <c r="C20" s="13">
        <v>533</v>
      </c>
      <c r="D20" s="13" t="s">
        <v>36</v>
      </c>
      <c r="E20" s="13" t="s">
        <v>52</v>
      </c>
      <c r="F20" s="13" t="s">
        <v>54</v>
      </c>
      <c r="G20" s="13">
        <v>14.19</v>
      </c>
      <c r="H20" s="13">
        <v>0.5</v>
      </c>
      <c r="I20" s="13">
        <v>3</v>
      </c>
      <c r="J20" s="13" t="s">
        <v>54</v>
      </c>
      <c r="K20" s="13" t="s">
        <v>32</v>
      </c>
      <c r="L20" s="13">
        <v>14.23</v>
      </c>
    </row>
    <row r="21" spans="1:12" ht="18" customHeight="1" x14ac:dyDescent="0.25">
      <c r="A21" s="12" t="s">
        <v>40</v>
      </c>
      <c r="B21" s="13">
        <v>24</v>
      </c>
      <c r="C21" s="13">
        <v>511</v>
      </c>
      <c r="D21" s="13" t="s">
        <v>36</v>
      </c>
      <c r="E21" s="13" t="s">
        <v>52</v>
      </c>
      <c r="F21" s="13" t="s">
        <v>54</v>
      </c>
      <c r="G21" s="13">
        <v>12.4</v>
      </c>
      <c r="H21" s="13">
        <v>0</v>
      </c>
      <c r="I21" s="13">
        <v>0</v>
      </c>
      <c r="J21" s="13" t="s">
        <v>54</v>
      </c>
      <c r="K21" s="13" t="s">
        <v>35</v>
      </c>
      <c r="L21" s="13">
        <v>12.4</v>
      </c>
    </row>
    <row r="22" spans="1:12" ht="18" customHeight="1" x14ac:dyDescent="0.25">
      <c r="A22" s="12" t="s">
        <v>40</v>
      </c>
      <c r="B22" s="13">
        <v>23</v>
      </c>
      <c r="C22" s="13">
        <v>522</v>
      </c>
      <c r="D22" s="13" t="s">
        <v>36</v>
      </c>
      <c r="E22" s="13" t="s">
        <v>52</v>
      </c>
      <c r="F22" s="13" t="s">
        <v>54</v>
      </c>
      <c r="G22" s="13">
        <v>15.34</v>
      </c>
      <c r="H22" s="13">
        <v>0.5</v>
      </c>
      <c r="I22" s="13">
        <v>0</v>
      </c>
      <c r="J22" s="13" t="s">
        <v>54</v>
      </c>
      <c r="K22" s="13" t="s">
        <v>34</v>
      </c>
      <c r="L22" s="13">
        <v>15.4</v>
      </c>
    </row>
    <row r="23" spans="1:12" ht="18" customHeight="1" x14ac:dyDescent="0.25">
      <c r="A23" s="12" t="s">
        <v>40</v>
      </c>
      <c r="B23" s="13">
        <v>21</v>
      </c>
      <c r="C23" s="13">
        <v>523</v>
      </c>
      <c r="D23" s="13" t="s">
        <v>36</v>
      </c>
      <c r="E23" s="13" t="s">
        <v>52</v>
      </c>
      <c r="F23" s="13" t="s">
        <v>54</v>
      </c>
      <c r="G23" s="13">
        <v>15.11</v>
      </c>
      <c r="H23" s="13">
        <v>0.5</v>
      </c>
      <c r="I23" s="13">
        <v>0</v>
      </c>
      <c r="J23" s="13" t="s">
        <v>54</v>
      </c>
      <c r="K23" s="13" t="s">
        <v>34</v>
      </c>
      <c r="L23" s="13">
        <v>15.18</v>
      </c>
    </row>
    <row r="24" spans="1:12" ht="18" customHeight="1" x14ac:dyDescent="0.25">
      <c r="A24" s="12" t="s">
        <v>40</v>
      </c>
      <c r="B24" s="13">
        <v>6</v>
      </c>
      <c r="C24" s="13">
        <v>525</v>
      </c>
      <c r="D24" s="13" t="s">
        <v>36</v>
      </c>
      <c r="E24" s="13" t="s">
        <v>52</v>
      </c>
      <c r="F24" s="13" t="s">
        <v>54</v>
      </c>
      <c r="G24" s="13">
        <v>14.05</v>
      </c>
      <c r="H24" s="13">
        <v>0</v>
      </c>
      <c r="I24" s="13">
        <v>0</v>
      </c>
      <c r="J24" s="13" t="s">
        <v>54</v>
      </c>
      <c r="K24" s="13" t="s">
        <v>32</v>
      </c>
      <c r="L24" s="13">
        <v>14.19</v>
      </c>
    </row>
    <row r="25" spans="1:12" ht="18" customHeight="1" x14ac:dyDescent="0.25">
      <c r="A25" s="12" t="s">
        <v>40</v>
      </c>
      <c r="B25" s="13">
        <v>29</v>
      </c>
      <c r="C25" s="13">
        <v>501</v>
      </c>
      <c r="D25" s="13" t="s">
        <v>47</v>
      </c>
      <c r="E25" s="13" t="s">
        <v>53</v>
      </c>
      <c r="F25" s="13" t="s">
        <v>54</v>
      </c>
      <c r="G25" s="13">
        <v>11.15</v>
      </c>
      <c r="H25" s="13">
        <v>0.5</v>
      </c>
      <c r="I25" s="13">
        <v>2</v>
      </c>
      <c r="J25" s="13" t="s">
        <v>54</v>
      </c>
      <c r="K25" s="13" t="s">
        <v>36</v>
      </c>
      <c r="L25" s="13">
        <v>11.15</v>
      </c>
    </row>
    <row r="26" spans="1:12" ht="18" customHeight="1" x14ac:dyDescent="0.25">
      <c r="A26" s="12" t="s">
        <v>40</v>
      </c>
      <c r="B26" s="13">
        <v>26</v>
      </c>
      <c r="C26" s="13">
        <v>503</v>
      </c>
      <c r="D26" s="13" t="s">
        <v>47</v>
      </c>
      <c r="E26" s="13" t="s">
        <v>53</v>
      </c>
      <c r="F26" s="13" t="s">
        <v>54</v>
      </c>
      <c r="G26" s="15">
        <v>14.4</v>
      </c>
      <c r="H26" s="15">
        <v>0</v>
      </c>
      <c r="I26" s="13">
        <v>2</v>
      </c>
      <c r="J26" s="13" t="s">
        <v>54</v>
      </c>
      <c r="K26" s="13" t="s">
        <v>36</v>
      </c>
      <c r="L26" s="13">
        <v>14.4</v>
      </c>
    </row>
    <row r="27" spans="1:12" ht="18" customHeight="1" x14ac:dyDescent="0.25">
      <c r="A27" s="12" t="s">
        <v>40</v>
      </c>
      <c r="B27" s="13">
        <v>14</v>
      </c>
      <c r="C27" s="13">
        <v>513</v>
      </c>
      <c r="D27" s="13" t="s">
        <v>47</v>
      </c>
      <c r="E27" s="13" t="s">
        <v>53</v>
      </c>
      <c r="F27" s="13" t="s">
        <v>54</v>
      </c>
      <c r="G27" s="13">
        <v>13.45</v>
      </c>
      <c r="H27" s="13">
        <v>0</v>
      </c>
      <c r="I27" s="13">
        <v>2</v>
      </c>
      <c r="J27" s="13" t="s">
        <v>54</v>
      </c>
      <c r="K27" s="13" t="s">
        <v>34</v>
      </c>
      <c r="L27" s="13">
        <v>13.45</v>
      </c>
    </row>
    <row r="28" spans="1:12" ht="18" customHeight="1" x14ac:dyDescent="0.25">
      <c r="A28" s="12" t="s">
        <v>40</v>
      </c>
      <c r="B28" s="13">
        <v>3</v>
      </c>
      <c r="C28" s="13">
        <v>529</v>
      </c>
      <c r="D28" s="13" t="s">
        <v>47</v>
      </c>
      <c r="E28" s="13" t="s">
        <v>53</v>
      </c>
      <c r="F28" s="13" t="s">
        <v>54</v>
      </c>
      <c r="G28" s="13">
        <v>13.75</v>
      </c>
      <c r="H28" s="13">
        <v>0</v>
      </c>
      <c r="I28" s="13">
        <v>2</v>
      </c>
      <c r="J28" s="13" t="s">
        <v>54</v>
      </c>
      <c r="K28" s="13" t="s">
        <v>32</v>
      </c>
      <c r="L28" s="13">
        <v>13.9</v>
      </c>
    </row>
    <row r="29" spans="1:12" ht="18" customHeight="1" x14ac:dyDescent="0.25">
      <c r="A29" s="12" t="s">
        <v>40</v>
      </c>
      <c r="B29" s="13">
        <v>8</v>
      </c>
      <c r="C29" s="13">
        <v>532</v>
      </c>
      <c r="D29" s="13" t="s">
        <v>47</v>
      </c>
      <c r="E29" s="13" t="s">
        <v>53</v>
      </c>
      <c r="F29" s="13" t="s">
        <v>54</v>
      </c>
      <c r="G29" s="13">
        <v>13.42</v>
      </c>
      <c r="H29" s="13">
        <v>0</v>
      </c>
      <c r="I29" s="13">
        <v>2</v>
      </c>
      <c r="J29" s="13" t="s">
        <v>54</v>
      </c>
      <c r="K29" s="13" t="s">
        <v>32</v>
      </c>
      <c r="L29" s="13">
        <v>13.46</v>
      </c>
    </row>
    <row r="30" spans="1:12" ht="18" customHeight="1" x14ac:dyDescent="0.25">
      <c r="A30" s="12" t="s">
        <v>40</v>
      </c>
      <c r="B30" s="13">
        <v>28</v>
      </c>
      <c r="C30" s="13">
        <v>502</v>
      </c>
      <c r="D30" s="13" t="s">
        <v>47</v>
      </c>
      <c r="E30" s="13" t="s">
        <v>53</v>
      </c>
      <c r="F30" s="13" t="s">
        <v>54</v>
      </c>
      <c r="G30" s="15">
        <v>11.88</v>
      </c>
      <c r="H30" s="15">
        <v>0</v>
      </c>
      <c r="I30" s="13">
        <v>3</v>
      </c>
      <c r="J30" s="13" t="s">
        <v>54</v>
      </c>
      <c r="K30" s="13" t="s">
        <v>36</v>
      </c>
      <c r="L30" s="13">
        <v>12</v>
      </c>
    </row>
    <row r="31" spans="1:12" ht="18" customHeight="1" x14ac:dyDescent="0.25">
      <c r="A31" s="12" t="s">
        <v>40</v>
      </c>
      <c r="B31" s="13">
        <v>31</v>
      </c>
      <c r="C31" s="13">
        <v>507</v>
      </c>
      <c r="D31" s="13" t="s">
        <v>47</v>
      </c>
      <c r="E31" s="13" t="s">
        <v>53</v>
      </c>
      <c r="F31" s="13" t="s">
        <v>54</v>
      </c>
      <c r="G31" s="13">
        <v>14.8</v>
      </c>
      <c r="H31" s="13">
        <v>0</v>
      </c>
      <c r="I31" s="13">
        <v>3</v>
      </c>
      <c r="J31" s="13" t="s">
        <v>54</v>
      </c>
      <c r="K31" s="13" t="s">
        <v>37</v>
      </c>
      <c r="L31" s="13">
        <v>14.9</v>
      </c>
    </row>
    <row r="32" spans="1:12" ht="18" customHeight="1" x14ac:dyDescent="0.25">
      <c r="A32" s="12" t="s">
        <v>40</v>
      </c>
      <c r="B32" s="13">
        <v>10</v>
      </c>
      <c r="C32" s="13">
        <v>510</v>
      </c>
      <c r="D32" s="13" t="s">
        <v>47</v>
      </c>
      <c r="E32" s="13" t="s">
        <v>53</v>
      </c>
      <c r="F32" s="13" t="s">
        <v>54</v>
      </c>
      <c r="G32" s="13">
        <v>12.44</v>
      </c>
      <c r="H32" s="13">
        <v>0</v>
      </c>
      <c r="I32" s="13">
        <v>3</v>
      </c>
      <c r="J32" s="13" t="s">
        <v>54</v>
      </c>
      <c r="K32" s="13" t="s">
        <v>33</v>
      </c>
      <c r="L32" s="13">
        <v>12.5</v>
      </c>
    </row>
    <row r="33" spans="1:12" ht="18" customHeight="1" x14ac:dyDescent="0.25">
      <c r="A33" s="12" t="s">
        <v>40</v>
      </c>
      <c r="B33" s="13">
        <v>17</v>
      </c>
      <c r="C33" s="13">
        <v>515</v>
      </c>
      <c r="D33" s="13" t="s">
        <v>47</v>
      </c>
      <c r="E33" s="13" t="s">
        <v>53</v>
      </c>
      <c r="F33" s="13" t="s">
        <v>54</v>
      </c>
      <c r="G33" s="13">
        <v>12.39</v>
      </c>
      <c r="H33" s="13">
        <v>0</v>
      </c>
      <c r="I33" s="13">
        <v>3</v>
      </c>
      <c r="J33" s="13" t="s">
        <v>54</v>
      </c>
      <c r="K33" s="13" t="s">
        <v>34</v>
      </c>
      <c r="L33" s="13">
        <v>12.4</v>
      </c>
    </row>
    <row r="34" spans="1:12" ht="18" customHeight="1" x14ac:dyDescent="0.25">
      <c r="A34" s="12" t="s">
        <v>40</v>
      </c>
      <c r="B34" s="13">
        <v>16</v>
      </c>
      <c r="C34" s="13">
        <v>517</v>
      </c>
      <c r="D34" s="13" t="s">
        <v>47</v>
      </c>
      <c r="E34" s="13" t="s">
        <v>53</v>
      </c>
      <c r="F34" s="13" t="s">
        <v>54</v>
      </c>
      <c r="G34" s="13">
        <v>14.84</v>
      </c>
      <c r="H34" s="13">
        <v>0.5</v>
      </c>
      <c r="I34" s="13">
        <v>3</v>
      </c>
      <c r="J34" s="13" t="s">
        <v>54</v>
      </c>
      <c r="K34" s="13" t="s">
        <v>34</v>
      </c>
      <c r="L34" s="13">
        <v>14.9</v>
      </c>
    </row>
    <row r="35" spans="1:12" ht="18" customHeight="1" x14ac:dyDescent="0.25">
      <c r="A35" s="12" t="s">
        <v>40</v>
      </c>
      <c r="B35" s="13">
        <v>20</v>
      </c>
      <c r="C35" s="13">
        <v>512</v>
      </c>
      <c r="D35" s="13" t="s">
        <v>47</v>
      </c>
      <c r="E35" s="13" t="s">
        <v>53</v>
      </c>
      <c r="F35" s="13" t="s">
        <v>54</v>
      </c>
      <c r="G35" s="13">
        <v>12.9</v>
      </c>
      <c r="H35" s="13">
        <v>0</v>
      </c>
      <c r="I35" s="13">
        <v>0</v>
      </c>
      <c r="J35" s="13" t="s">
        <v>54</v>
      </c>
      <c r="K35" s="13" t="s">
        <v>34</v>
      </c>
      <c r="L35" s="13">
        <v>12.9</v>
      </c>
    </row>
    <row r="36" spans="1:12" ht="18" customHeight="1" x14ac:dyDescent="0.25">
      <c r="A36" s="12" t="s">
        <v>40</v>
      </c>
      <c r="B36" s="13">
        <v>7</v>
      </c>
      <c r="C36" s="13">
        <v>531</v>
      </c>
      <c r="D36" s="13" t="s">
        <v>47</v>
      </c>
      <c r="E36" s="13" t="s">
        <v>53</v>
      </c>
      <c r="F36" s="13" t="s">
        <v>54</v>
      </c>
      <c r="G36" s="13">
        <v>11.92</v>
      </c>
      <c r="H36" s="13">
        <v>0</v>
      </c>
      <c r="I36" s="13">
        <v>0</v>
      </c>
      <c r="J36" s="13" t="s">
        <v>54</v>
      </c>
      <c r="K36" s="13" t="s">
        <v>32</v>
      </c>
      <c r="L36" s="13">
        <v>11.95</v>
      </c>
    </row>
    <row r="37" spans="1:12" ht="18" hidden="1" customHeight="1" x14ac:dyDescent="0.25">
      <c r="A37" s="12"/>
      <c r="B37" s="13" t="s">
        <v>38</v>
      </c>
      <c r="C37" s="13">
        <v>534</v>
      </c>
      <c r="D37" s="13" t="s">
        <v>21</v>
      </c>
      <c r="E37" s="13"/>
      <c r="F37" s="13"/>
      <c r="G37" s="13">
        <v>17.399999999999999</v>
      </c>
      <c r="H37" s="13">
        <v>0.5</v>
      </c>
      <c r="I37" s="13" t="s">
        <v>15</v>
      </c>
      <c r="J37" s="13"/>
      <c r="K37" s="13" t="s">
        <v>38</v>
      </c>
      <c r="L37" s="16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  <c r="I38" s="13"/>
      <c r="J38" s="13"/>
      <c r="K38" s="12"/>
      <c r="L38" s="13"/>
    </row>
  </sheetData>
  <sortState xmlns:xlrd2="http://schemas.microsoft.com/office/spreadsheetml/2017/richdata2" ref="A5:L36">
    <sortCondition ref="E5:E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10" sqref="E10"/>
    </sheetView>
  </sheetViews>
  <sheetFormatPr defaultRowHeight="15" x14ac:dyDescent="0.25"/>
  <sheetData>
    <row r="1" spans="1:6" x14ac:dyDescent="0.25">
      <c r="B1" s="7" t="s">
        <v>25</v>
      </c>
      <c r="C1" s="2"/>
      <c r="D1" s="2"/>
      <c r="E1" s="2"/>
      <c r="F1" s="2"/>
    </row>
    <row r="2" spans="1:6" ht="45" x14ac:dyDescent="0.25">
      <c r="A2" s="2"/>
      <c r="B2" s="8"/>
      <c r="C2" s="9" t="s">
        <v>29</v>
      </c>
      <c r="D2" s="9" t="s">
        <v>30</v>
      </c>
      <c r="E2" s="10" t="s">
        <v>28</v>
      </c>
      <c r="F2" s="10" t="s">
        <v>27</v>
      </c>
    </row>
    <row r="3" spans="1:6" x14ac:dyDescent="0.25">
      <c r="B3" s="9" t="s">
        <v>26</v>
      </c>
      <c r="C3" s="9" t="s">
        <v>13</v>
      </c>
      <c r="D3" s="9">
        <v>5</v>
      </c>
      <c r="E3" s="9">
        <v>13.3</v>
      </c>
      <c r="F3" s="9">
        <v>2</v>
      </c>
    </row>
    <row r="4" spans="1:6" x14ac:dyDescent="0.25">
      <c r="B4" s="9" t="s">
        <v>26</v>
      </c>
      <c r="C4" s="9" t="s">
        <v>12</v>
      </c>
      <c r="D4" s="9">
        <v>5</v>
      </c>
      <c r="E4" s="9">
        <v>13.5</v>
      </c>
      <c r="F4" s="11">
        <f>3-0.125</f>
        <v>2.875</v>
      </c>
    </row>
    <row r="5" spans="1:6" x14ac:dyDescent="0.25">
      <c r="B5" s="9" t="s">
        <v>26</v>
      </c>
      <c r="C5" s="9" t="s">
        <v>14</v>
      </c>
      <c r="D5" s="9">
        <v>2</v>
      </c>
      <c r="E5" s="9">
        <v>12.6</v>
      </c>
      <c r="F5" s="9">
        <v>0</v>
      </c>
    </row>
    <row r="6" spans="1:6" x14ac:dyDescent="0.25">
      <c r="A6" s="2"/>
      <c r="B6" s="9"/>
      <c r="C6" s="9"/>
      <c r="D6" s="9"/>
      <c r="E6" s="9"/>
      <c r="F6" s="9"/>
    </row>
    <row r="7" spans="1:6" x14ac:dyDescent="0.25">
      <c r="B7" s="9" t="s">
        <v>21</v>
      </c>
      <c r="C7" s="9" t="s">
        <v>13</v>
      </c>
      <c r="D7" s="9">
        <v>8</v>
      </c>
      <c r="E7" s="11">
        <v>14.96875</v>
      </c>
      <c r="F7" s="11">
        <v>1.6875</v>
      </c>
    </row>
    <row r="8" spans="1:6" x14ac:dyDescent="0.25">
      <c r="B8" s="9" t="s">
        <v>21</v>
      </c>
      <c r="C8" s="9" t="s">
        <v>12</v>
      </c>
      <c r="D8" s="9">
        <v>8</v>
      </c>
      <c r="E8" s="11">
        <v>15.12</v>
      </c>
      <c r="F8" s="11">
        <v>2.8119999999999998</v>
      </c>
    </row>
    <row r="9" spans="1:6" x14ac:dyDescent="0.25">
      <c r="B9" s="9" t="s">
        <v>21</v>
      </c>
      <c r="C9" s="9" t="s">
        <v>14</v>
      </c>
      <c r="D9" s="9">
        <v>4</v>
      </c>
      <c r="E9" s="11">
        <v>14.23</v>
      </c>
      <c r="F9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zoomScale="110" zoomScaleNormal="110" workbookViewId="0">
      <selection activeCell="A26" sqref="A26:E29"/>
    </sheetView>
  </sheetViews>
  <sheetFormatPr defaultColWidth="9.140625" defaultRowHeight="15" x14ac:dyDescent="0.25"/>
  <cols>
    <col min="1" max="6" width="9.140625" style="2"/>
    <col min="7" max="7" width="18.28515625" style="4" customWidth="1"/>
    <col min="8" max="16384" width="9.140625" style="2"/>
  </cols>
  <sheetData>
    <row r="1" spans="1:8" s="1" customFormat="1" ht="30" x14ac:dyDescent="0.25">
      <c r="A1" s="1" t="s">
        <v>6</v>
      </c>
      <c r="B1" s="1" t="s">
        <v>19</v>
      </c>
      <c r="C1" s="1" t="s">
        <v>20</v>
      </c>
      <c r="D1" s="1" t="s">
        <v>7</v>
      </c>
      <c r="E1" s="1" t="s">
        <v>8</v>
      </c>
      <c r="F1" s="1" t="s">
        <v>9</v>
      </c>
      <c r="G1" s="3" t="s">
        <v>10</v>
      </c>
      <c r="H1" s="1" t="s">
        <v>11</v>
      </c>
    </row>
    <row r="2" spans="1:8" x14ac:dyDescent="0.25">
      <c r="A2" s="2">
        <v>1</v>
      </c>
      <c r="B2" s="2">
        <v>505</v>
      </c>
      <c r="C2" s="2" t="s">
        <v>21</v>
      </c>
      <c r="D2" s="2">
        <v>15.75</v>
      </c>
      <c r="E2" s="2">
        <v>0</v>
      </c>
      <c r="F2" s="2">
        <v>4</v>
      </c>
      <c r="H2" s="2" t="s">
        <v>12</v>
      </c>
    </row>
    <row r="3" spans="1:8" x14ac:dyDescent="0.25">
      <c r="A3" s="2">
        <v>2</v>
      </c>
      <c r="B3" s="2">
        <v>504</v>
      </c>
      <c r="C3" s="2" t="s">
        <v>21</v>
      </c>
      <c r="D3" s="2">
        <v>14.3</v>
      </c>
      <c r="E3" s="2">
        <v>0.5</v>
      </c>
      <c r="F3" s="2">
        <v>4</v>
      </c>
      <c r="H3" s="2" t="s">
        <v>12</v>
      </c>
    </row>
    <row r="4" spans="1:8" x14ac:dyDescent="0.25">
      <c r="A4" s="2">
        <v>3</v>
      </c>
      <c r="B4" s="2">
        <v>511</v>
      </c>
      <c r="C4" s="2" t="s">
        <v>21</v>
      </c>
      <c r="D4" s="2">
        <v>12.4</v>
      </c>
      <c r="E4" s="2">
        <v>0</v>
      </c>
      <c r="F4" s="2">
        <v>3</v>
      </c>
      <c r="H4" s="2" t="s">
        <v>14</v>
      </c>
    </row>
    <row r="5" spans="1:8" x14ac:dyDescent="0.25">
      <c r="A5" s="2">
        <v>4</v>
      </c>
      <c r="B5" s="2">
        <v>509</v>
      </c>
      <c r="C5" s="2" t="s">
        <v>21</v>
      </c>
      <c r="D5" s="2">
        <v>16.399999999999999</v>
      </c>
      <c r="E5" s="2">
        <v>0.5</v>
      </c>
      <c r="F5" s="2">
        <v>4</v>
      </c>
      <c r="G5" s="4" t="s">
        <v>0</v>
      </c>
      <c r="H5" s="2" t="s">
        <v>12</v>
      </c>
    </row>
    <row r="6" spans="1:8" x14ac:dyDescent="0.25">
      <c r="A6" s="2">
        <v>5</v>
      </c>
      <c r="B6" s="2">
        <v>508</v>
      </c>
      <c r="C6" s="2" t="s">
        <v>21</v>
      </c>
      <c r="D6" s="2">
        <v>16.7</v>
      </c>
      <c r="E6" s="2">
        <v>0</v>
      </c>
      <c r="F6" s="2">
        <v>4</v>
      </c>
      <c r="G6" s="4" t="s">
        <v>5</v>
      </c>
      <c r="H6" s="2" t="s">
        <v>13</v>
      </c>
    </row>
    <row r="7" spans="1:8" x14ac:dyDescent="0.25">
      <c r="A7" s="2">
        <v>6</v>
      </c>
      <c r="B7" s="2">
        <v>522</v>
      </c>
      <c r="C7" s="2" t="s">
        <v>21</v>
      </c>
      <c r="D7" s="2">
        <v>15.4</v>
      </c>
      <c r="E7" s="2">
        <v>0.5</v>
      </c>
      <c r="F7" s="2">
        <v>4</v>
      </c>
      <c r="H7" s="2" t="s">
        <v>14</v>
      </c>
    </row>
    <row r="8" spans="1:8" x14ac:dyDescent="0.25">
      <c r="A8" s="2">
        <v>7</v>
      </c>
      <c r="B8" s="2">
        <v>523</v>
      </c>
      <c r="C8" s="2" t="s">
        <v>21</v>
      </c>
      <c r="D8" s="2">
        <v>15</v>
      </c>
      <c r="E8" s="2">
        <v>0.5</v>
      </c>
      <c r="F8" s="2">
        <v>4</v>
      </c>
      <c r="H8" s="2" t="s">
        <v>14</v>
      </c>
    </row>
    <row r="9" spans="1:8" x14ac:dyDescent="0.25">
      <c r="A9" s="2">
        <v>8</v>
      </c>
      <c r="B9" s="2">
        <v>524</v>
      </c>
      <c r="C9" s="2" t="s">
        <v>21</v>
      </c>
      <c r="D9" s="2">
        <v>13.8</v>
      </c>
      <c r="E9" s="2">
        <v>0.5</v>
      </c>
      <c r="F9" s="2">
        <v>4</v>
      </c>
      <c r="H9" s="2" t="s">
        <v>13</v>
      </c>
    </row>
    <row r="10" spans="1:8" x14ac:dyDescent="0.25">
      <c r="A10" s="2">
        <v>9</v>
      </c>
      <c r="B10" s="2">
        <v>533</v>
      </c>
      <c r="C10" s="2" t="s">
        <v>21</v>
      </c>
      <c r="D10" s="2">
        <v>14.3</v>
      </c>
      <c r="E10" s="2">
        <v>0.5</v>
      </c>
      <c r="F10" s="2">
        <v>4</v>
      </c>
      <c r="G10" s="4" t="s">
        <v>1</v>
      </c>
      <c r="H10" s="2" t="s">
        <v>12</v>
      </c>
    </row>
    <row r="11" spans="1:8" x14ac:dyDescent="0.25">
      <c r="A11" s="2">
        <v>10</v>
      </c>
      <c r="B11" s="2">
        <v>525</v>
      </c>
      <c r="C11" s="2" t="s">
        <v>21</v>
      </c>
      <c r="D11" s="2">
        <v>14.1</v>
      </c>
      <c r="E11" s="2">
        <v>0</v>
      </c>
      <c r="F11" s="2">
        <v>4</v>
      </c>
      <c r="H11" s="2" t="s">
        <v>14</v>
      </c>
    </row>
    <row r="12" spans="1:8" x14ac:dyDescent="0.25">
      <c r="A12" s="2">
        <v>11</v>
      </c>
      <c r="B12" s="2">
        <v>526</v>
      </c>
      <c r="C12" s="2" t="s">
        <v>21</v>
      </c>
      <c r="D12" s="2">
        <v>15.75</v>
      </c>
      <c r="E12" s="2">
        <v>0.5</v>
      </c>
      <c r="F12" s="2">
        <v>4</v>
      </c>
      <c r="H12" s="2" t="s">
        <v>13</v>
      </c>
    </row>
    <row r="13" spans="1:8" x14ac:dyDescent="0.25">
      <c r="A13" s="2">
        <v>12</v>
      </c>
      <c r="B13" s="2">
        <v>527</v>
      </c>
      <c r="C13" s="2" t="s">
        <v>21</v>
      </c>
      <c r="D13" s="2">
        <v>15.15</v>
      </c>
      <c r="E13" s="2">
        <v>0.5</v>
      </c>
      <c r="F13" s="2">
        <v>4</v>
      </c>
      <c r="H13" s="2" t="s">
        <v>13</v>
      </c>
    </row>
    <row r="14" spans="1:8" x14ac:dyDescent="0.25">
      <c r="A14" s="2">
        <v>13</v>
      </c>
      <c r="B14" s="2">
        <v>534</v>
      </c>
      <c r="C14" s="2" t="s">
        <v>21</v>
      </c>
      <c r="D14" s="2">
        <v>17.399999999999999</v>
      </c>
      <c r="E14" s="2">
        <v>0.5</v>
      </c>
      <c r="F14" s="2">
        <v>4</v>
      </c>
      <c r="H14" s="2" t="s">
        <v>15</v>
      </c>
    </row>
    <row r="15" spans="1:8" x14ac:dyDescent="0.25">
      <c r="A15" s="2">
        <v>14</v>
      </c>
      <c r="B15" s="2">
        <v>506</v>
      </c>
      <c r="C15" s="2" t="s">
        <v>21</v>
      </c>
      <c r="D15" s="2">
        <v>15.6</v>
      </c>
      <c r="E15" s="2">
        <v>0</v>
      </c>
      <c r="F15" s="2">
        <v>4</v>
      </c>
      <c r="G15" s="4" t="s">
        <v>2</v>
      </c>
      <c r="H15" s="2" t="s">
        <v>13</v>
      </c>
    </row>
    <row r="16" spans="1:8" x14ac:dyDescent="0.25">
      <c r="A16" s="2">
        <v>15</v>
      </c>
      <c r="B16" s="2">
        <v>514</v>
      </c>
      <c r="C16" s="2" t="s">
        <v>21</v>
      </c>
      <c r="D16" s="2">
        <v>13.1</v>
      </c>
      <c r="E16" s="2">
        <v>0</v>
      </c>
      <c r="F16" s="2">
        <v>3</v>
      </c>
      <c r="G16" s="4" t="s">
        <v>0</v>
      </c>
      <c r="H16" s="2" t="s">
        <v>13</v>
      </c>
    </row>
    <row r="17" spans="1:8" x14ac:dyDescent="0.25">
      <c r="A17" s="2">
        <v>16</v>
      </c>
      <c r="B17" s="2">
        <v>516</v>
      </c>
      <c r="C17" s="2" t="s">
        <v>21</v>
      </c>
      <c r="D17" s="2">
        <v>14.4</v>
      </c>
      <c r="E17" s="2">
        <v>0.5</v>
      </c>
      <c r="F17" s="2">
        <v>4</v>
      </c>
      <c r="H17" s="2" t="s">
        <v>13</v>
      </c>
    </row>
    <row r="18" spans="1:8" x14ac:dyDescent="0.25">
      <c r="A18" s="2">
        <v>17</v>
      </c>
      <c r="B18" s="2">
        <v>520</v>
      </c>
      <c r="C18" s="2" t="s">
        <v>21</v>
      </c>
      <c r="D18" s="2">
        <v>18.2</v>
      </c>
      <c r="E18" s="2">
        <v>0</v>
      </c>
      <c r="F18" s="2">
        <v>4</v>
      </c>
      <c r="G18" s="4" t="s">
        <v>3</v>
      </c>
      <c r="H18" s="2" t="s">
        <v>12</v>
      </c>
    </row>
    <row r="19" spans="1:8" x14ac:dyDescent="0.25">
      <c r="A19" s="2">
        <v>18</v>
      </c>
      <c r="B19" s="2">
        <v>519</v>
      </c>
      <c r="C19" s="2" t="s">
        <v>21</v>
      </c>
      <c r="D19" s="2">
        <v>15.5</v>
      </c>
      <c r="E19" s="2">
        <v>0.5</v>
      </c>
      <c r="F19" s="2">
        <v>4</v>
      </c>
      <c r="G19" s="4" t="s">
        <v>0</v>
      </c>
      <c r="H19" s="2" t="s">
        <v>13</v>
      </c>
    </row>
    <row r="20" spans="1:8" x14ac:dyDescent="0.25">
      <c r="A20" s="2">
        <v>19</v>
      </c>
      <c r="B20" s="2">
        <v>518</v>
      </c>
      <c r="C20" s="2" t="s">
        <v>21</v>
      </c>
      <c r="D20" s="2">
        <v>14.1</v>
      </c>
      <c r="E20" s="2">
        <v>0</v>
      </c>
      <c r="F20" s="2">
        <v>4</v>
      </c>
      <c r="G20" s="4" t="s">
        <v>0</v>
      </c>
      <c r="H20" s="2" t="s">
        <v>12</v>
      </c>
    </row>
    <row r="21" spans="1:8" x14ac:dyDescent="0.25">
      <c r="A21" s="2">
        <v>20</v>
      </c>
      <c r="B21" s="2">
        <v>521</v>
      </c>
      <c r="C21" s="2" t="s">
        <v>21</v>
      </c>
      <c r="D21" s="2">
        <v>14.4</v>
      </c>
      <c r="E21" s="2">
        <v>0</v>
      </c>
      <c r="F21" s="2">
        <v>4</v>
      </c>
      <c r="G21" s="4" t="s">
        <v>4</v>
      </c>
      <c r="H21" s="2" t="s">
        <v>15</v>
      </c>
    </row>
    <row r="22" spans="1:8" x14ac:dyDescent="0.25">
      <c r="A22" s="2">
        <v>21</v>
      </c>
      <c r="B22" s="2">
        <v>528</v>
      </c>
      <c r="C22" s="2" t="s">
        <v>21</v>
      </c>
      <c r="D22" s="2">
        <v>12.8</v>
      </c>
      <c r="E22" s="2">
        <v>0</v>
      </c>
      <c r="F22" s="2">
        <v>4</v>
      </c>
      <c r="H22" s="2" t="s">
        <v>12</v>
      </c>
    </row>
    <row r="23" spans="1:8" x14ac:dyDescent="0.25">
      <c r="A23" s="2">
        <v>22</v>
      </c>
      <c r="B23" s="2">
        <v>530</v>
      </c>
      <c r="C23" s="2" t="s">
        <v>21</v>
      </c>
      <c r="D23" s="2">
        <v>15.1</v>
      </c>
      <c r="E23" s="2">
        <v>0</v>
      </c>
      <c r="F23" s="2">
        <v>4</v>
      </c>
      <c r="H23" s="2" t="s">
        <v>12</v>
      </c>
    </row>
    <row r="26" spans="1:8" x14ac:dyDescent="0.25">
      <c r="D26" s="2" t="s">
        <v>17</v>
      </c>
      <c r="E26" s="2" t="s">
        <v>18</v>
      </c>
    </row>
    <row r="27" spans="1:8" x14ac:dyDescent="0.25">
      <c r="A27" s="2" t="s">
        <v>13</v>
      </c>
      <c r="D27" s="2">
        <f>AVERAGE(D2:D9)</f>
        <v>14.96875</v>
      </c>
      <c r="E27" s="5">
        <f>2-0.3125</f>
        <v>1.6875</v>
      </c>
    </row>
    <row r="28" spans="1:8" x14ac:dyDescent="0.25">
      <c r="A28" s="2" t="s">
        <v>12</v>
      </c>
      <c r="D28" s="5">
        <f>AVERAGE(D10:D17)</f>
        <v>14.974999999999998</v>
      </c>
      <c r="E28" s="5">
        <f>3-0.188</f>
        <v>2.8119999999999998</v>
      </c>
    </row>
    <row r="29" spans="1:8" x14ac:dyDescent="0.25">
      <c r="A29" s="2" t="s">
        <v>14</v>
      </c>
      <c r="D29" s="5">
        <f>AVERAGE(D19:D22)</f>
        <v>14.2</v>
      </c>
      <c r="E29" s="2">
        <v>0</v>
      </c>
    </row>
  </sheetData>
  <sortState xmlns:xlrd2="http://schemas.microsoft.com/office/spreadsheetml/2017/richdata2" ref="A2:F23">
    <sortCondition ref="A2:A2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activeCell="A15" sqref="A15:E20"/>
    </sheetView>
  </sheetViews>
  <sheetFormatPr defaultRowHeight="15" x14ac:dyDescent="0.25"/>
  <cols>
    <col min="1" max="1" width="9.140625" style="2"/>
    <col min="2" max="3" width="8.85546875" style="2"/>
    <col min="4" max="6" width="9.140625" style="2"/>
  </cols>
  <sheetData>
    <row r="1" spans="1:8" ht="45" x14ac:dyDescent="0.25">
      <c r="A1" s="1" t="s">
        <v>6</v>
      </c>
      <c r="B1" s="1" t="s">
        <v>19</v>
      </c>
      <c r="C1" s="1" t="s">
        <v>20</v>
      </c>
      <c r="D1" s="1" t="s">
        <v>23</v>
      </c>
      <c r="E1" s="1" t="s">
        <v>8</v>
      </c>
      <c r="F1" s="1" t="s">
        <v>9</v>
      </c>
      <c r="G1" s="1" t="s">
        <v>10</v>
      </c>
      <c r="H1" s="1" t="s">
        <v>16</v>
      </c>
    </row>
    <row r="2" spans="1:8" x14ac:dyDescent="0.25">
      <c r="A2" s="2">
        <v>1</v>
      </c>
      <c r="B2" s="2">
        <v>502</v>
      </c>
      <c r="C2" s="2" t="s">
        <v>22</v>
      </c>
      <c r="D2" s="2">
        <v>11.9</v>
      </c>
      <c r="E2" s="2">
        <v>0</v>
      </c>
      <c r="F2" s="2">
        <v>4</v>
      </c>
      <c r="H2" t="s">
        <v>12</v>
      </c>
    </row>
    <row r="3" spans="1:8" x14ac:dyDescent="0.25">
      <c r="A3" s="2">
        <v>2</v>
      </c>
      <c r="B3" s="2">
        <v>501</v>
      </c>
      <c r="C3" s="2" t="s">
        <v>22</v>
      </c>
      <c r="D3" s="2">
        <v>11.15</v>
      </c>
      <c r="E3" s="2">
        <v>0.5</v>
      </c>
      <c r="F3" s="2">
        <v>4</v>
      </c>
      <c r="H3" t="s">
        <v>15</v>
      </c>
    </row>
    <row r="4" spans="1:8" x14ac:dyDescent="0.25">
      <c r="A4" s="2">
        <v>3</v>
      </c>
      <c r="B4" s="2">
        <v>512</v>
      </c>
      <c r="C4" s="2" t="s">
        <v>22</v>
      </c>
      <c r="D4" s="2">
        <v>13.2</v>
      </c>
      <c r="E4" s="2">
        <v>0</v>
      </c>
      <c r="F4" s="2">
        <v>4</v>
      </c>
      <c r="H4" t="s">
        <v>14</v>
      </c>
    </row>
    <row r="5" spans="1:8" x14ac:dyDescent="0.25">
      <c r="A5" s="2">
        <v>4</v>
      </c>
      <c r="B5" s="2">
        <v>531</v>
      </c>
      <c r="C5" s="2" t="s">
        <v>22</v>
      </c>
      <c r="D5" s="2">
        <v>12</v>
      </c>
      <c r="E5" s="2">
        <v>0</v>
      </c>
      <c r="F5" s="2">
        <v>3</v>
      </c>
      <c r="H5" t="s">
        <v>14</v>
      </c>
    </row>
    <row r="6" spans="1:8" x14ac:dyDescent="0.25">
      <c r="A6" s="2">
        <v>5</v>
      </c>
      <c r="B6" s="2">
        <v>532</v>
      </c>
      <c r="C6" s="2" t="s">
        <v>22</v>
      </c>
      <c r="D6" s="2">
        <v>13.65</v>
      </c>
      <c r="E6" s="2">
        <v>0</v>
      </c>
      <c r="F6" s="2">
        <v>4</v>
      </c>
      <c r="H6" t="s">
        <v>13</v>
      </c>
    </row>
    <row r="7" spans="1:8" x14ac:dyDescent="0.25">
      <c r="A7" s="2">
        <v>6</v>
      </c>
      <c r="B7" s="2">
        <v>507</v>
      </c>
      <c r="C7" s="2" t="s">
        <v>22</v>
      </c>
      <c r="D7" s="2">
        <v>14.7</v>
      </c>
      <c r="E7" s="2">
        <v>0</v>
      </c>
      <c r="F7" s="2">
        <v>3</v>
      </c>
      <c r="H7" t="s">
        <v>12</v>
      </c>
    </row>
    <row r="8" spans="1:8" x14ac:dyDescent="0.25">
      <c r="A8" s="2">
        <v>7</v>
      </c>
      <c r="B8" s="2">
        <v>515</v>
      </c>
      <c r="C8" s="2" t="s">
        <v>22</v>
      </c>
      <c r="D8" s="2">
        <v>12.3</v>
      </c>
      <c r="E8" s="2">
        <v>0</v>
      </c>
      <c r="F8" s="2">
        <v>4</v>
      </c>
      <c r="G8" t="s">
        <v>0</v>
      </c>
      <c r="H8" t="s">
        <v>13</v>
      </c>
    </row>
    <row r="9" spans="1:8" x14ac:dyDescent="0.25">
      <c r="A9" s="2">
        <v>8</v>
      </c>
      <c r="B9" s="2">
        <v>517</v>
      </c>
      <c r="C9" s="2" t="s">
        <v>22</v>
      </c>
      <c r="D9" s="2">
        <v>15</v>
      </c>
      <c r="E9" s="2">
        <v>0.5</v>
      </c>
      <c r="F9" s="2">
        <v>4</v>
      </c>
      <c r="G9" t="s">
        <v>0</v>
      </c>
      <c r="H9" t="s">
        <v>12</v>
      </c>
    </row>
    <row r="10" spans="1:8" x14ac:dyDescent="0.25">
      <c r="A10" s="2">
        <v>9</v>
      </c>
      <c r="B10" s="2">
        <v>513</v>
      </c>
      <c r="C10" s="2" t="s">
        <v>22</v>
      </c>
      <c r="D10" s="2">
        <v>13.6</v>
      </c>
      <c r="E10" s="2">
        <v>0</v>
      </c>
      <c r="F10" s="2">
        <v>4</v>
      </c>
      <c r="G10" t="s">
        <v>0</v>
      </c>
      <c r="H10" t="s">
        <v>13</v>
      </c>
    </row>
    <row r="11" spans="1:8" x14ac:dyDescent="0.25">
      <c r="A11" s="2">
        <v>10</v>
      </c>
      <c r="B11" s="2">
        <v>529</v>
      </c>
      <c r="C11" s="2" t="s">
        <v>22</v>
      </c>
      <c r="D11" s="2">
        <v>13.8</v>
      </c>
      <c r="E11" s="2">
        <v>0</v>
      </c>
      <c r="F11" s="2">
        <v>4</v>
      </c>
      <c r="H11" t="s">
        <v>13</v>
      </c>
    </row>
    <row r="12" spans="1:8" x14ac:dyDescent="0.25">
      <c r="A12" s="2">
        <v>11</v>
      </c>
      <c r="B12" s="2">
        <v>510</v>
      </c>
      <c r="C12" s="2" t="s">
        <v>22</v>
      </c>
      <c r="D12" s="2">
        <v>12.5</v>
      </c>
      <c r="E12" s="2">
        <v>0</v>
      </c>
      <c r="F12" s="2">
        <v>4</v>
      </c>
      <c r="G12" t="s">
        <v>0</v>
      </c>
      <c r="H12" t="s">
        <v>12</v>
      </c>
    </row>
    <row r="13" spans="1:8" x14ac:dyDescent="0.25">
      <c r="A13" s="2">
        <v>12</v>
      </c>
      <c r="B13" s="2">
        <v>503</v>
      </c>
      <c r="C13" s="2" t="s">
        <v>22</v>
      </c>
      <c r="H13" t="s">
        <v>13</v>
      </c>
    </row>
    <row r="15" spans="1:8" x14ac:dyDescent="0.25">
      <c r="A15" s="6" t="s">
        <v>24</v>
      </c>
    </row>
    <row r="16" spans="1:8" x14ac:dyDescent="0.25">
      <c r="D16" s="2" t="s">
        <v>17</v>
      </c>
      <c r="E16" s="2" t="s">
        <v>18</v>
      </c>
    </row>
    <row r="17" spans="1:5" x14ac:dyDescent="0.25">
      <c r="A17" s="2" t="s">
        <v>13</v>
      </c>
      <c r="D17" s="2">
        <v>13.3</v>
      </c>
      <c r="E17" s="2">
        <v>2</v>
      </c>
    </row>
    <row r="18" spans="1:5" x14ac:dyDescent="0.25">
      <c r="A18" s="2" t="s">
        <v>12</v>
      </c>
      <c r="D18" s="2">
        <v>13.5</v>
      </c>
      <c r="E18" s="5">
        <f>3-0.125</f>
        <v>2.875</v>
      </c>
    </row>
    <row r="19" spans="1:5" x14ac:dyDescent="0.25">
      <c r="A19" s="2" t="s">
        <v>14</v>
      </c>
      <c r="D19" s="2">
        <v>12.6</v>
      </c>
      <c r="E19" s="2">
        <v>0</v>
      </c>
    </row>
  </sheetData>
  <sortState xmlns:xlrd2="http://schemas.microsoft.com/office/spreadsheetml/2017/richdata2" ref="A2:F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research tree baseline</vt:lpstr>
      <vt:lpstr>trmt summary</vt:lpstr>
      <vt:lpstr>codom</vt:lpstr>
      <vt:lpstr>interm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Smallidge</dc:creator>
  <cp:lastModifiedBy>Peter Smallidge</cp:lastModifiedBy>
  <cp:lastPrinted>2021-08-24T14:39:41Z</cp:lastPrinted>
  <dcterms:created xsi:type="dcterms:W3CDTF">2020-12-10T21:20:56Z</dcterms:created>
  <dcterms:modified xsi:type="dcterms:W3CDTF">2021-11-12T20:37:32Z</dcterms:modified>
</cp:coreProperties>
</file>